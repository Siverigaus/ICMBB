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ries_1\"/>
    </mc:Choice>
  </mc:AlternateContent>
  <xr:revisionPtr revIDLastSave="0" documentId="13_ncr:1_{0CB9DFD6-4B54-4318-87CB-AFAF2862C917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MSD" sheetId="2" r:id="rId1"/>
    <sheet name="RMSF" sheetId="3" r:id="rId2"/>
    <sheet name="SASA" sheetId="4" r:id="rId3"/>
    <sheet name="Rg" sheetId="5" r:id="rId4"/>
    <sheet name="Eel" sheetId="6" r:id="rId5"/>
    <sheet name="EVdW" sheetId="7" r:id="rId6"/>
    <sheet name="Disulphide_bonds" sheetId="8" r:id="rId7"/>
    <sheet name="PCA" sheetId="1" r:id="rId8"/>
    <sheet name="Web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</calcChain>
</file>

<file path=xl/sharedStrings.xml><?xml version="1.0" encoding="utf-8"?>
<sst xmlns="http://schemas.openxmlformats.org/spreadsheetml/2006/main" count="25" uniqueCount="25">
  <si>
    <t>Система</t>
  </si>
  <si>
    <t>1-я</t>
  </si>
  <si>
    <t>2-я</t>
  </si>
  <si>
    <t>3-я</t>
  </si>
  <si>
    <t>Σ</t>
  </si>
  <si>
    <t>PMm</t>
  </si>
  <si>
    <t>303-350</t>
  </si>
  <si>
    <t>% коллективного движения, описываемый компонентой</t>
  </si>
  <si>
    <t>Длительность симуляции</t>
  </si>
  <si>
    <t>Гликозид</t>
  </si>
  <si>
    <t>FA2G2S2</t>
  </si>
  <si>
    <t>Количество различных систем</t>
  </si>
  <si>
    <t>100 нс</t>
  </si>
  <si>
    <t>2_bonds</t>
  </si>
  <si>
    <t>no_bonds</t>
  </si>
  <si>
    <t>Количество дисульфидных связей</t>
  </si>
  <si>
    <t>Липидный бислой</t>
  </si>
  <si>
    <t>Термодинамический ансамбль</t>
  </si>
  <si>
    <t>NPT</t>
  </si>
  <si>
    <t>0, 1 (303-350), 2</t>
  </si>
  <si>
    <t>4 серия</t>
  </si>
  <si>
    <t>Eek</t>
  </si>
  <si>
    <t>Положение гликозида</t>
  </si>
  <si>
    <t>ASN295, ASN308</t>
  </si>
  <si>
    <t>Число реплик на систему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</si>
</sst>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theme="1"/>
      <name val="PT Sans"/>
    </font>
    <font>
      <i/>
      <sz val="12"/>
      <color theme="1"/>
      <name val="PT Sans"/>
    </font>
    <font>
      <b/>
      <sz val="12"/>
      <color theme="1"/>
      <name val="PT Sans"/>
    </font>
    <font>
      <b/>
      <i/>
      <sz val="12"/>
      <color theme="1"/>
      <name val="Times New Roman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2" fontId="1" fillId="0" borderId="10" xfId="1" applyNumberFormat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2" fontId="1" fillId="0" borderId="12" xfId="1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2" fontId="1" fillId="0" borderId="13" xfId="1" applyNumberFormat="1" applyFont="1" applyBorder="1" applyAlignment="1">
      <alignment horizontal="left" vertical="center"/>
    </xf>
    <xf numFmtId="2" fontId="1" fillId="0" borderId="5" xfId="1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4" xfId="0" applyFont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DAD2-799D-4157-988B-75F410615F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D5C5-F9A5-4AC3-914D-B213E270A6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6BD0-8731-4FD0-8BF7-BAD8F0C145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D840-643F-4846-831C-2701956E78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5F66-59B7-4629-9730-52744E8ED740}">
  <dimension ref="A1"/>
  <sheetViews>
    <sheetView workbookViewId="0"/>
  </sheetViews>
  <sheetFormatPr defaultRowHeight="14.4" x14ac:dyDescent="0.3"/>
  <sheetData>
    <row r="1" spans="1:1" x14ac:dyDescent="0.3">
      <c r="A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B51C-9AA0-4A16-A449-25BCA776DD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87D0-0F22-48BE-9DC3-5F5D2AAF82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H16" sqref="H16"/>
    </sheetView>
  </sheetViews>
  <sheetFormatPr defaultRowHeight="16.2" x14ac:dyDescent="0.3"/>
  <cols>
    <col min="1" max="1" width="25.6640625" style="2" bestFit="1" customWidth="1"/>
    <col min="2" max="3" width="7.109375" style="1" bestFit="1" customWidth="1"/>
    <col min="4" max="4" width="5.88671875" style="1" bestFit="1" customWidth="1"/>
    <col min="5" max="5" width="6.77734375" style="3" bestFit="1" customWidth="1"/>
    <col min="6" max="7" width="7.109375" style="1" bestFit="1" customWidth="1"/>
    <col min="8" max="8" width="6.6640625" style="1" customWidth="1"/>
    <col min="9" max="9" width="6.77734375" style="3" bestFit="1" customWidth="1"/>
    <col min="10" max="10" width="10.109375" style="1" bestFit="1" customWidth="1"/>
    <col min="11" max="12" width="7.109375" style="1" bestFit="1" customWidth="1"/>
    <col min="13" max="13" width="5.88671875" style="1" bestFit="1" customWidth="1"/>
    <col min="14" max="14" width="6.77734375" style="1" bestFit="1" customWidth="1"/>
    <col min="15" max="16" width="7.109375" style="1" bestFit="1" customWidth="1"/>
    <col min="17" max="17" width="5.88671875" style="1" bestFit="1" customWidth="1"/>
    <col min="18" max="18" width="6.77734375" style="1" bestFit="1" customWidth="1"/>
    <col min="19" max="16384" width="8.88671875" style="1"/>
  </cols>
  <sheetData>
    <row r="1" spans="1:18" s="4" customFormat="1" ht="16.8" thickBot="1" x14ac:dyDescent="0.35">
      <c r="A1" s="42" t="s">
        <v>0</v>
      </c>
      <c r="B1" s="30" t="s">
        <v>20</v>
      </c>
      <c r="C1" s="28"/>
      <c r="D1" s="28"/>
      <c r="E1" s="29"/>
      <c r="F1" s="44"/>
    </row>
    <row r="2" spans="1:18" s="4" customFormat="1" ht="16.8" thickBot="1" x14ac:dyDescent="0.35">
      <c r="A2" s="31"/>
      <c r="B2" s="5" t="s">
        <v>1</v>
      </c>
      <c r="C2" s="5" t="s">
        <v>2</v>
      </c>
      <c r="D2" s="5" t="s">
        <v>3</v>
      </c>
      <c r="E2" s="6" t="s">
        <v>4</v>
      </c>
      <c r="F2" s="44"/>
    </row>
    <row r="3" spans="1:18" x14ac:dyDescent="0.3">
      <c r="A3" s="7" t="s">
        <v>13</v>
      </c>
      <c r="B3" s="10">
        <v>72.510000000000005</v>
      </c>
      <c r="C3" s="8">
        <v>9.15</v>
      </c>
      <c r="D3" s="8">
        <v>5.17</v>
      </c>
      <c r="E3" s="9">
        <f t="shared" ref="E3:E5" si="0">SUM(B3:D3)</f>
        <v>86.830000000000013</v>
      </c>
      <c r="F3" s="13"/>
      <c r="I3" s="1"/>
    </row>
    <row r="4" spans="1:18" x14ac:dyDescent="0.3">
      <c r="A4" s="14" t="s">
        <v>14</v>
      </c>
      <c r="B4" s="1">
        <v>61.75</v>
      </c>
      <c r="C4" s="1">
        <v>16.670000000000002</v>
      </c>
      <c r="D4" s="1">
        <v>6.26</v>
      </c>
      <c r="E4" s="9">
        <f t="shared" si="0"/>
        <v>84.68</v>
      </c>
      <c r="F4" s="13"/>
      <c r="I4" s="1"/>
    </row>
    <row r="5" spans="1:18" ht="16.8" thickBot="1" x14ac:dyDescent="0.35">
      <c r="A5" s="15" t="s">
        <v>6</v>
      </c>
      <c r="B5" s="16">
        <v>60.86</v>
      </c>
      <c r="C5" s="16">
        <v>13.58</v>
      </c>
      <c r="D5" s="16">
        <v>9.56</v>
      </c>
      <c r="E5" s="17">
        <f t="shared" si="0"/>
        <v>84</v>
      </c>
      <c r="F5" s="11"/>
      <c r="I5" s="1"/>
    </row>
    <row r="6" spans="1:18" x14ac:dyDescent="0.3">
      <c r="A6" s="32" t="s">
        <v>7</v>
      </c>
      <c r="B6" s="33"/>
      <c r="C6" s="33"/>
      <c r="D6" s="33"/>
      <c r="E6" s="34"/>
      <c r="F6" s="41"/>
      <c r="G6" s="46"/>
      <c r="H6" s="46"/>
      <c r="I6" s="46"/>
    </row>
    <row r="7" spans="1:18" ht="16.8" thickBot="1" x14ac:dyDescent="0.35">
      <c r="A7" s="35"/>
      <c r="B7" s="36"/>
      <c r="C7" s="36"/>
      <c r="D7" s="36"/>
      <c r="E7" s="37"/>
      <c r="F7" s="41"/>
      <c r="G7" s="46"/>
      <c r="H7" s="46"/>
      <c r="I7" s="46"/>
    </row>
    <row r="8" spans="1:18" x14ac:dyDescent="0.3">
      <c r="A8" s="21" t="s">
        <v>9</v>
      </c>
      <c r="B8" s="39" t="s">
        <v>10</v>
      </c>
      <c r="C8" s="40"/>
      <c r="D8" s="40"/>
      <c r="E8" s="43"/>
      <c r="F8" s="47"/>
      <c r="G8" s="46"/>
      <c r="H8" s="46"/>
      <c r="I8" s="46"/>
      <c r="J8" s="46"/>
    </row>
    <row r="9" spans="1:18" x14ac:dyDescent="0.3">
      <c r="A9" s="21" t="s">
        <v>22</v>
      </c>
      <c r="B9" s="23" t="s">
        <v>23</v>
      </c>
      <c r="C9" s="24"/>
      <c r="D9" s="24"/>
      <c r="E9" s="25"/>
      <c r="F9" s="38"/>
      <c r="G9" s="46"/>
      <c r="H9" s="46"/>
      <c r="I9" s="46"/>
      <c r="J9" s="46"/>
    </row>
    <row r="10" spans="1:18" ht="32.4" x14ac:dyDescent="0.3">
      <c r="A10" s="20" t="s">
        <v>15</v>
      </c>
      <c r="B10" s="23" t="s">
        <v>19</v>
      </c>
      <c r="C10" s="24"/>
      <c r="D10" s="24"/>
      <c r="E10" s="25"/>
      <c r="F10" s="38"/>
      <c r="G10" s="46"/>
      <c r="H10" s="46"/>
      <c r="I10" s="46"/>
      <c r="J10" s="46"/>
    </row>
    <row r="11" spans="1:18" x14ac:dyDescent="0.3">
      <c r="A11" s="20" t="s">
        <v>16</v>
      </c>
      <c r="B11" s="23" t="s">
        <v>5</v>
      </c>
      <c r="C11" s="24"/>
      <c r="D11" s="24"/>
      <c r="E11" s="25"/>
      <c r="F11" s="38"/>
      <c r="G11" s="46"/>
      <c r="H11" s="46"/>
      <c r="I11" s="46"/>
      <c r="J11" s="46"/>
    </row>
    <row r="12" spans="1:18" ht="32.4" x14ac:dyDescent="0.3">
      <c r="A12" s="20" t="s">
        <v>17</v>
      </c>
      <c r="B12" s="23" t="s">
        <v>18</v>
      </c>
      <c r="C12" s="24"/>
      <c r="D12" s="24"/>
      <c r="E12" s="25"/>
      <c r="F12" s="38"/>
      <c r="G12" s="46"/>
      <c r="H12" s="46"/>
      <c r="I12" s="46"/>
      <c r="J12" s="46"/>
      <c r="K12" s="46"/>
      <c r="L12" s="46"/>
      <c r="M12" s="46"/>
      <c r="N12" s="46"/>
    </row>
    <row r="13" spans="1:18" ht="32.4" x14ac:dyDescent="0.3">
      <c r="A13" s="20" t="s">
        <v>24</v>
      </c>
      <c r="B13" s="23">
        <v>3</v>
      </c>
      <c r="C13" s="24"/>
      <c r="D13" s="24"/>
      <c r="E13" s="25"/>
      <c r="F13" s="38"/>
      <c r="G13" s="46"/>
      <c r="H13" s="46"/>
      <c r="I13" s="46"/>
      <c r="J13" s="46"/>
      <c r="K13" s="46"/>
      <c r="L13" s="46"/>
      <c r="M13" s="46"/>
      <c r="N13" s="46"/>
    </row>
    <row r="14" spans="1:18" ht="32.4" x14ac:dyDescent="0.3">
      <c r="A14" s="20" t="s">
        <v>11</v>
      </c>
      <c r="B14" s="23">
        <v>3</v>
      </c>
      <c r="C14" s="24"/>
      <c r="D14" s="24"/>
      <c r="E14" s="25"/>
      <c r="F14" s="38"/>
      <c r="G14" s="46"/>
      <c r="H14" s="46"/>
      <c r="I14" s="46"/>
      <c r="J14" s="46"/>
      <c r="K14" s="46"/>
      <c r="L14" s="46"/>
      <c r="M14" s="46"/>
      <c r="N14" s="46"/>
    </row>
    <row r="15" spans="1:18" ht="16.8" thickBot="1" x14ac:dyDescent="0.35">
      <c r="A15" s="22" t="s">
        <v>8</v>
      </c>
      <c r="B15" s="26" t="s">
        <v>12</v>
      </c>
      <c r="C15" s="26"/>
      <c r="D15" s="26"/>
      <c r="E15" s="27"/>
      <c r="F15" s="13"/>
      <c r="I15" s="1"/>
    </row>
    <row r="16" spans="1:18" x14ac:dyDescent="0.3">
      <c r="A16" s="12"/>
      <c r="B16" s="18"/>
      <c r="C16" s="18"/>
      <c r="D16" s="18"/>
      <c r="E16" s="19"/>
      <c r="F16" s="45"/>
      <c r="P16" s="18"/>
      <c r="Q16" s="18"/>
      <c r="R16" s="18"/>
    </row>
  </sheetData>
  <mergeCells count="11">
    <mergeCell ref="B12:E12"/>
    <mergeCell ref="B1:E1"/>
    <mergeCell ref="A1:A2"/>
    <mergeCell ref="A6:E7"/>
    <mergeCell ref="B8:E8"/>
    <mergeCell ref="B9:E9"/>
    <mergeCell ref="B10:E10"/>
    <mergeCell ref="B14:E14"/>
    <mergeCell ref="B15:E15"/>
    <mergeCell ref="B13:E13"/>
    <mergeCell ref="B11:E11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17C3-9AC4-4159-9B1C-96C4D7EF59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RMSD</vt:lpstr>
      <vt:lpstr>RMSF</vt:lpstr>
      <vt:lpstr>SASA</vt:lpstr>
      <vt:lpstr>Rg</vt:lpstr>
      <vt:lpstr>Eel</vt:lpstr>
      <vt:lpstr>EVdW</vt:lpstr>
      <vt:lpstr>Disulphide_bonds</vt:lpstr>
      <vt:lpstr>PCA</vt:lpstr>
      <vt:lpstr>Webs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Медведев</dc:creator>
  <cp:lastModifiedBy>Егор Медведев</cp:lastModifiedBy>
  <cp:revision>1</cp:revision>
  <dcterms:created xsi:type="dcterms:W3CDTF">2015-06-05T18:19:34Z</dcterms:created>
  <dcterms:modified xsi:type="dcterms:W3CDTF">2026-09-15T15:37:35Z</dcterms:modified>
</cp:coreProperties>
</file>